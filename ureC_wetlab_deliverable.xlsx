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Phylum representativeness" sheetId="2" state="visible" r:id="rId4"/>
    <sheet name="Primer match detail" sheetId="3" state="visible" r:id="rId5"/>
    <sheet name="Flagged caveats" sheetId="4" state="visible" r:id="rId6"/>
    <sheet name="Methods not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<sst xmlns="http://schemas.openxmlformats.org/spreadsheetml/2006/main" count="72" uniqueCount="71">
  <si>
    <t xml:space="preserve">ureC gBlock Consensus — Summary</t>
  </si>
  <si>
    <t xml:space="preserve">Wet lab deliverable package — all figures pulled from validated pipeline outputs, nothing recomputed here.</t>
  </si>
  <si>
    <t xml:space="preserve">Gene target</t>
  </si>
  <si>
    <t xml:space="preserve">ureC</t>
  </si>
  <si>
    <t xml:space="preserve">Consensus sequence (103bp)</t>
  </si>
  <si>
    <t xml:space="preserve">TCCACACCTACCACACCGAAGGCGCCGGCGGCGGCCACGCGCCGGACATCATCAAGGTCGCCGGCCAGCCGAACGTGCTGCCGTCCTCGACCAACCCGACCCT</t>
  </si>
  <si>
    <t xml:space="preserve">Amplicon length (bp)</t>
  </si>
  <si>
    <t xml:space="preserve">Forward primer</t>
  </si>
  <si>
    <t xml:space="preserve">TTCACACCTTCCACACCGAA</t>
  </si>
  <si>
    <t xml:space="preserve">Reverse primer</t>
  </si>
  <si>
    <t xml:space="preserve">AACGTCGGGTTGGTCGAG</t>
  </si>
  <si>
    <t xml:space="preserve">Forward primer melting temp (Tm, nearest-neighbor method, °C)</t>
  </si>
  <si>
    <t xml:space="preserve">Reverse primer melting temp (Tm, nearest-neighbor method, °C)</t>
  </si>
  <si>
    <t xml:space="preserve">Species contributing to final consensus</t>
  </si>
  <si>
    <t xml:space="preserve">...out of gene-positive species (ureC screen hit_count &gt; 0)</t>
  </si>
  <si>
    <t xml:space="preserve">...out of total DeQueen dataset (species rows)</t>
  </si>
  <si>
    <t xml:space="preserve">Primer back-check — forward mismatches (of 20bp)</t>
  </si>
  <si>
    <t xml:space="preserve">Primer back-check — reverse mismatches (of 18bp)</t>
  </si>
  <si>
    <t xml:space="preserve">Notes:</t>
  </si>
  <si>
    <t xml:space="preserve">- Melting temps calculated via Biopython Bio.SeqUtils.MeltingTemp.Tm_NN (nearest-neighbor method, standard for PCR primer design).</t>
  </si>
  <si>
    <t xml:space="preserve">- Primer back-check mismatches measured against the original non-degenerate literature ureC primers (IDT_degenerate primer 063026.xlsx). See Tab 4 for the one flagged position-2 discrepancy.</t>
  </si>
  <si>
    <t xml:space="preserve">- "Total DeQueen dataset" = 1584 species rows in tax_table_df.csv (1583 after excluding one non-Bacteria placeholder row); see Tab 5.</t>
  </si>
  <si>
    <t xml:space="preserve">Phylum representativeness: final consensus pool vs. true DeQueen distribution</t>
  </si>
  <si>
    <t xml:space="preserve">All phyla present in the DeQueen dataset (Domain = Bacteria, n=1583), not just the top 4.</t>
  </si>
  <si>
    <t xml:space="preserve">Phylum</t>
  </si>
  <si>
    <t xml:space="preserve">Species count — true DeQueen dataset</t>
  </si>
  <si>
    <t xml:space="preserve">% of true DeQueen dataset</t>
  </si>
  <si>
    <t xml:space="preserve">Species count — final consensus pool (n=538)</t>
  </si>
  <si>
    <t xml:space="preserve">% of final consensus pool</t>
  </si>
  <si>
    <t xml:space="preserve">Firmicutes</t>
  </si>
  <si>
    <t xml:space="preserve">Actinobacteria</t>
  </si>
  <si>
    <t xml:space="preserve">Proteobacteria</t>
  </si>
  <si>
    <t xml:space="preserve">Bacteroidota</t>
  </si>
  <si>
    <t xml:space="preserve">Planctomycetota</t>
  </si>
  <si>
    <t xml:space="preserve">Balneolaeota</t>
  </si>
  <si>
    <t xml:space="preserve">Lentisphaerae</t>
  </si>
  <si>
    <t xml:space="preserve">Chloroflexi</t>
  </si>
  <si>
    <t xml:space="preserve">Verrucomicrobia</t>
  </si>
  <si>
    <t xml:space="preserve">Cyanobacteria</t>
  </si>
  <si>
    <t xml:space="preserve">Tenericutes</t>
  </si>
  <si>
    <t xml:space="preserve">Nitrospirae</t>
  </si>
  <si>
    <t xml:space="preserve">Deinococcus-Thermus</t>
  </si>
  <si>
    <t xml:space="preserve">Total</t>
  </si>
  <si>
    <t xml:space="preserve">Source: true DeQueen counts from tax_table_df.csv (Domain==Bacteria). Consensus pool counts from ureC_msa_anchored_extraction_log.csv (status==extracted).</t>
  </si>
  <si>
    <t xml:space="preserve">Primer match detail</t>
  </si>
  <si>
    <t xml:space="preserve">Direct primer-matching results (worst-case mismatch count across forward + reverse, among the 179 species that matched directly)</t>
  </si>
  <si>
    <t xml:space="preserve">Match quality</t>
  </si>
  <si>
    <t xml:space="preserve">Species count</t>
  </si>
  <si>
    <t xml:space="preserve">% of direct matches (n=179)</t>
  </si>
  <si>
    <t xml:space="preserve">Perfect match (0 mismatches)</t>
  </si>
  <si>
    <t xml:space="preserve">1 mismatch</t>
  </si>
  <si>
    <t xml:space="preserve">2 mismatches</t>
  </si>
  <si>
    <t xml:space="preserve">3 mismatches</t>
  </si>
  <si>
    <t xml:space="preserve">4 mismatches</t>
  </si>
  <si>
    <t xml:space="preserve">Total direct primer matches</t>
  </si>
  <si>
    <t xml:space="preserve">Recovery method breakdown — final consensus pool (n=538)</t>
  </si>
  <si>
    <t xml:space="preserve">Recovery method</t>
  </si>
  <si>
    <t xml:space="preserve">% of final pool (n=538)</t>
  </si>
  <si>
    <t xml:space="preserve">Direct primer match (≤4 mismatches, both primers)</t>
  </si>
  <si>
    <t xml:space="preserve">No direct primer match — recovered via MSA-anchored extraction</t>
  </si>
  <si>
    <t xml:space="preserve">Total final consensus pool</t>
  </si>
  <si>
    <t xml:space="preserve">Key finding: primer-exact-matching alone (≤2 mismatches, the primer's original design tolerance) found only 6 species; even relaxed to ≤4 mismatches it found just 179/538 species, and that pool was phylum-biased (5.6% Firmicutes vs. 51% true DeQueen composition, because Firmicutes ureC sequences carry more wobble-position variation than the non-degenerate primer tolerates). MSA-anchored extraction — aligning all gene-positive sequences together and extracting the amplicon by shared alignment coordinates, anchored to the 179 confirmed primer sites — recovered the additional 359 species and produced a pool much closer to the true community composition (37.0% Firmicutes, see Tab 2).</t>
  </si>
  <si>
    <t xml:space="preserve">Flagged caveats — review before finalizing for synthesis</t>
  </si>
  <si>
    <t xml:space="preserve">1. Forward primer may not optimally match community composition at one position</t>
  </si>
  <si>
    <t xml:space="preserve">At position 2 of the forward primer, the literature primer sequence encodes a T. But when we look at the true, taxonomically-corrected community (538 species), 62% actually carry a C at that position — T is only present in about 28% of species. This doesn't mean the primer is broken (it still works within the intended mismatch tolerance), but it does suggest this one position may reflect the primer's original narrower validation set rather than the full community this project is targeting.</t>
  </si>
  <si>
    <t xml:space="preserve">2. Two real amino-acid-level differences, not just silent variation</t>
  </si>
  <si>
    <t xml:space="preserve">When we compared the consensus built from a smaller, phylum-biased set of species against the consensus built from the full, corrected set, most of the differences were "silent" — different DNA letters that still code for the same protein building block (amino acid). But two positions are NOT silent: position 10 changes the encoded amino acid from Phenylalanine to Tyrosine, and position 84 changes it from Alanine to Serine. We have not yet checked whether either position falls inside a part of the UreC protein known to be important for its enzymatic function or structure. Recommend a domain expert (Gaurav or Brett) or a literature/database check confirm these two positions are not functionally critical before this sequence is finalized for synthesis.</t>
  </si>
  <si>
    <t xml:space="preserve">3. Consensus built from all gene-positive species via alignment, not primer-matching alone</t>
  </si>
  <si>
    <t xml:space="preserve">The final consensus sequence was built by aligning ALL species known to carry the ureC gene and extracting the relevant region using shared alignment coordinates — not by only using species whose sequence happened to match the exact primer sequence closely. This was a necessary choice: if we had only used species that matched the primer directly, we would have excluded the large majority of Firmicutes species (one of the most common bacterial groups in this litter environment), because their DNA sequence varies at several positions the primer doesn't tolerate, even though the actual gene and protein are still normal ureC. Using the alignment-based approach let us build a consensus that is much more representative of the real bacterial community.</t>
  </si>
  <si>
    <t xml:space="preserve">Methods note (plain language)</t>
  </si>
  <si>
    <t xml:space="preserve">This consensus sequence was built from a large, real-world collection of poultry litter bacteria: the DeQueen dataset, 1,584 named bacterial species identified from litter samples. Of those, 546 species were confirmed to actually carry the ureC gene (the target for this assay) by searching NCBI's public genetic database species by species. Not every bacterium carries every gene, so this screening step matters — the consensus was only built from species that genuinely have the gene, not assumed to.
From those 546 gene-positive species, we retrieved the actual DNA sequence for the gene in each one, then lined all of them up together (an "alignment") so we could compare the same stretch of DNA, position by position, across every species at once. Using a handful of species where the original lab-designed primers were already confirmed to bind well, we located exactly where in that shared alignment the primer-targeted region sits, and extracted that same region from every other species too — giving us 538 real, comparable sequences covering the actual region of interest.
We checked how well this final set of 538 species represents the real litter community by comparing it to the known makeup of the full DeQueen dataset. It's a much closer match than an earlier, narrower approach that only used species whose sequence matched the lab primers very closely (that narrower approach badly under-represented one of the most common bacterial groups in litter, Firmicutes, at just 5.6% instead of its true ~51% share). The version in this deliverable is far more representative: roughly 37% Firmicutes, 41% Actinobacteria, and 19% Proteobacteria, tracking reasonably close to the true community proportions (see the Phylum representativeness tab for the full breakdown).
The final consensus sequence was validated in two ways: first, by confirming it still matches the original lab primers within their intended tolerance (2 mismatches out of 20 bases on the forward primer, 2 out of 18 on the reverse primer — well within normal PCR tolerance); and second, by checking, position by position, where the final sequence differs from what an earlier, less representative version would have produced, and translating those differences to see whether they change the actual protein or are just harmless DNA-level variation (see the Flagged caveats tab for the two positions that do change the protein, and should get a quick expert look before this sequence goes to synthesis).</t>
  </si>
</sst>
</file>

<file path=xl/styles.xml><?xml version="1.0" encoding="utf-8"?>
<styleSheet xmlns="http://schemas.openxmlformats.org/spreadsheetml/2006/main">
  <numFmts count="3">
    <numFmt numFmtId="164" formatCode="General"/>
    <numFmt numFmtId="165" formatCode="0.0%"/>
    <numFmt numFmtId="166"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b val="true"/>
      <sz val="11"/>
      <name val="Arial"/>
      <family val="0"/>
      <charset val="1"/>
    </font>
    <font>
      <sz val="11"/>
      <name val="Arial"/>
      <family val="0"/>
      <charset val="1"/>
    </font>
    <font>
      <sz val="10"/>
      <name val="Courier New"/>
      <family val="0"/>
      <charset val="1"/>
    </font>
    <font>
      <i val="true"/>
      <sz val="9"/>
      <color rgb="FF777777"/>
      <name val="Arial"/>
      <family val="0"/>
      <charset val="1"/>
    </font>
    <font>
      <b val="true"/>
      <sz val="11"/>
      <color rgb="FFFFFFFF"/>
      <name val="Arial"/>
      <family val="0"/>
      <charset val="1"/>
    </font>
    <font>
      <i val="true"/>
      <sz val="11"/>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left" vertical="top" textRotation="0" wrapText="true" indent="0" shrinkToFit="false"/>
      <protection locked="true" hidden="false"/>
    </xf>
    <xf numFmtId="164" fontId="6" fillId="3"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777777"/>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70"/>
  </cols>
  <sheetData>
    <row r="1" customFormat="false" ht="17.35" hidden="false" customHeight="false" outlineLevel="0" collapsed="false">
      <c r="A1" s="1" t="s">
        <v>0</v>
      </c>
      <c r="B1" s="1"/>
    </row>
    <row r="2" customFormat="false" ht="15" hidden="false" customHeight="false" outlineLevel="0" collapsed="false">
      <c r="A2" s="2" t="s">
        <v>1</v>
      </c>
      <c r="B2" s="2"/>
    </row>
    <row r="4" customFormat="false" ht="39.75" hidden="false" customHeight="true" outlineLevel="0" collapsed="false">
      <c r="A4" s="3" t="s">
        <v>2</v>
      </c>
      <c r="B4" s="4" t="s">
        <v>3</v>
      </c>
    </row>
    <row r="5" customFormat="false" ht="18" hidden="false" customHeight="true" outlineLevel="0" collapsed="false">
      <c r="A5" s="3" t="s">
        <v>4</v>
      </c>
      <c r="B5" s="5" t="s">
        <v>5</v>
      </c>
    </row>
    <row r="6" customFormat="false" ht="18" hidden="false" customHeight="true" outlineLevel="0" collapsed="false">
      <c r="A6" s="3" t="s">
        <v>6</v>
      </c>
      <c r="B6" s="4" t="n">
        <v>103</v>
      </c>
    </row>
    <row r="7" customFormat="false" ht="18" hidden="false" customHeight="true" outlineLevel="0" collapsed="false">
      <c r="A7" s="3" t="s">
        <v>7</v>
      </c>
      <c r="B7" s="5" t="s">
        <v>8</v>
      </c>
    </row>
    <row r="8" customFormat="false" ht="18" hidden="false" customHeight="true" outlineLevel="0" collapsed="false">
      <c r="A8" s="3" t="s">
        <v>9</v>
      </c>
      <c r="B8" s="5" t="s">
        <v>10</v>
      </c>
    </row>
    <row r="9" customFormat="false" ht="18" hidden="false" customHeight="true" outlineLevel="0" collapsed="false">
      <c r="A9" s="3" t="s">
        <v>11</v>
      </c>
      <c r="B9" s="4" t="n">
        <v>53.6</v>
      </c>
    </row>
    <row r="10" customFormat="false" ht="18" hidden="false" customHeight="true" outlineLevel="0" collapsed="false">
      <c r="A10" s="3" t="s">
        <v>12</v>
      </c>
      <c r="B10" s="4" t="n">
        <v>54</v>
      </c>
    </row>
    <row r="11" customFormat="false" ht="18" hidden="false" customHeight="true" outlineLevel="0" collapsed="false">
      <c r="A11" s="3" t="s">
        <v>13</v>
      </c>
      <c r="B11" s="4" t="n">
        <v>538</v>
      </c>
    </row>
    <row r="12" customFormat="false" ht="18" hidden="false" customHeight="true" outlineLevel="0" collapsed="false">
      <c r="A12" s="3" t="s">
        <v>14</v>
      </c>
      <c r="B12" s="4" t="n">
        <v>546</v>
      </c>
    </row>
    <row r="13" customFormat="false" ht="18" hidden="false" customHeight="true" outlineLevel="0" collapsed="false">
      <c r="A13" s="3" t="s">
        <v>15</v>
      </c>
      <c r="B13" s="4" t="n">
        <v>1584</v>
      </c>
    </row>
    <row r="14" customFormat="false" ht="18" hidden="false" customHeight="true" outlineLevel="0" collapsed="false">
      <c r="A14" s="3" t="s">
        <v>16</v>
      </c>
      <c r="B14" s="4" t="n">
        <v>2</v>
      </c>
    </row>
    <row r="15" customFormat="false" ht="18" hidden="false" customHeight="true" outlineLevel="0" collapsed="false">
      <c r="A15" s="3" t="s">
        <v>17</v>
      </c>
      <c r="B15" s="4" t="n">
        <v>2</v>
      </c>
    </row>
    <row r="18" customFormat="false" ht="15" hidden="false" customHeight="false" outlineLevel="0" collapsed="false">
      <c r="A18" s="6" t="s">
        <v>18</v>
      </c>
    </row>
    <row r="19" customFormat="false" ht="15" hidden="false" customHeight="true" outlineLevel="0" collapsed="false">
      <c r="A19" s="7" t="s">
        <v>19</v>
      </c>
      <c r="B19" s="7"/>
    </row>
    <row r="20" customFormat="false" ht="15" hidden="false" customHeight="true" outlineLevel="0" collapsed="false">
      <c r="A20" s="7" t="s">
        <v>20</v>
      </c>
      <c r="B20" s="7"/>
    </row>
    <row r="21" customFormat="false" ht="15" hidden="false" customHeight="true" outlineLevel="0" collapsed="false">
      <c r="A21" s="7" t="s">
        <v>21</v>
      </c>
      <c r="B21" s="7"/>
    </row>
  </sheetData>
  <mergeCells count="5">
    <mergeCell ref="A1:B1"/>
    <mergeCell ref="A2:B2"/>
    <mergeCell ref="A19:B19"/>
    <mergeCell ref="A20:B20"/>
    <mergeCell ref="A21:B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5" min="2" style="0" width="24"/>
  </cols>
  <sheetData>
    <row r="1" customFormat="false" ht="17.35" hidden="false" customHeight="false" outlineLevel="0" collapsed="false">
      <c r="A1" s="1" t="s">
        <v>22</v>
      </c>
      <c r="B1" s="1"/>
      <c r="C1" s="1"/>
      <c r="D1" s="1"/>
    </row>
    <row r="2" customFormat="false" ht="15" hidden="false" customHeight="false" outlineLevel="0" collapsed="false">
      <c r="A2" s="2" t="s">
        <v>23</v>
      </c>
      <c r="B2" s="2"/>
      <c r="C2" s="2"/>
      <c r="D2" s="2"/>
    </row>
    <row r="4" customFormat="false" ht="26.85" hidden="false" customHeight="false" outlineLevel="0" collapsed="false">
      <c r="A4" s="8" t="s">
        <v>24</v>
      </c>
      <c r="B4" s="8" t="s">
        <v>25</v>
      </c>
      <c r="C4" s="8" t="s">
        <v>26</v>
      </c>
      <c r="D4" s="8" t="s">
        <v>27</v>
      </c>
      <c r="E4" s="8" t="s">
        <v>28</v>
      </c>
    </row>
    <row r="5" customFormat="false" ht="15" hidden="false" customHeight="false" outlineLevel="0" collapsed="false">
      <c r="A5" s="4" t="s">
        <v>29</v>
      </c>
      <c r="B5" s="9" t="n">
        <v>808</v>
      </c>
      <c r="C5" s="10" t="n">
        <f aca="false">B5/1583</f>
        <v>0.510423246999368</v>
      </c>
      <c r="D5" s="9" t="n">
        <v>199</v>
      </c>
      <c r="E5" s="10" t="n">
        <f aca="false">D5/538</f>
        <v>0.369888475836431</v>
      </c>
    </row>
    <row r="6" customFormat="false" ht="15" hidden="false" customHeight="false" outlineLevel="0" collapsed="false">
      <c r="A6" s="4" t="s">
        <v>30</v>
      </c>
      <c r="B6" s="9" t="n">
        <v>503</v>
      </c>
      <c r="C6" s="10" t="n">
        <f aca="false">B6/1583</f>
        <v>0.317751105495894</v>
      </c>
      <c r="D6" s="9" t="n">
        <v>222</v>
      </c>
      <c r="E6" s="10" t="n">
        <f aca="false">D6/538</f>
        <v>0.412639405204461</v>
      </c>
    </row>
    <row r="7" customFormat="false" ht="15" hidden="false" customHeight="false" outlineLevel="0" collapsed="false">
      <c r="A7" s="4" t="s">
        <v>31</v>
      </c>
      <c r="B7" s="9" t="n">
        <v>202</v>
      </c>
      <c r="C7" s="10" t="n">
        <f aca="false">B7/1583</f>
        <v>0.127605811749842</v>
      </c>
      <c r="D7" s="9" t="n">
        <v>101</v>
      </c>
      <c r="E7" s="10" t="n">
        <f aca="false">D7/538</f>
        <v>0.187732342007435</v>
      </c>
    </row>
    <row r="8" customFormat="false" ht="15" hidden="false" customHeight="false" outlineLevel="0" collapsed="false">
      <c r="A8" s="4" t="s">
        <v>32</v>
      </c>
      <c r="B8" s="9" t="n">
        <v>54</v>
      </c>
      <c r="C8" s="10" t="n">
        <f aca="false">B8/1583</f>
        <v>0.0341124447252053</v>
      </c>
      <c r="D8" s="9" t="n">
        <v>9</v>
      </c>
      <c r="E8" s="10" t="n">
        <f aca="false">D8/538</f>
        <v>0.016728624535316</v>
      </c>
    </row>
    <row r="9" customFormat="false" ht="15" hidden="false" customHeight="false" outlineLevel="0" collapsed="false">
      <c r="A9" s="4" t="s">
        <v>33</v>
      </c>
      <c r="B9" s="9" t="n">
        <v>5</v>
      </c>
      <c r="C9" s="10" t="n">
        <f aca="false">B9/1583</f>
        <v>0.00315855969677827</v>
      </c>
      <c r="D9" s="9" t="n">
        <v>5</v>
      </c>
      <c r="E9" s="10" t="n">
        <f aca="false">D9/538</f>
        <v>0.00929368029739777</v>
      </c>
    </row>
    <row r="10" customFormat="false" ht="15" hidden="false" customHeight="false" outlineLevel="0" collapsed="false">
      <c r="A10" s="4" t="s">
        <v>34</v>
      </c>
      <c r="B10" s="9" t="n">
        <v>2</v>
      </c>
      <c r="C10" s="10" t="n">
        <f aca="false">B10/1583</f>
        <v>0.00126342387871131</v>
      </c>
      <c r="D10" s="9" t="n">
        <v>0</v>
      </c>
      <c r="E10" s="10" t="n">
        <f aca="false">D10/538</f>
        <v>0</v>
      </c>
    </row>
    <row r="11" customFormat="false" ht="15" hidden="false" customHeight="false" outlineLevel="0" collapsed="false">
      <c r="A11" s="4" t="s">
        <v>35</v>
      </c>
      <c r="B11" s="9" t="n">
        <v>2</v>
      </c>
      <c r="C11" s="10" t="n">
        <f aca="false">B11/1583</f>
        <v>0.00126342387871131</v>
      </c>
      <c r="D11" s="9" t="n">
        <v>0</v>
      </c>
      <c r="E11" s="10" t="n">
        <f aca="false">D11/538</f>
        <v>0</v>
      </c>
    </row>
    <row r="12" customFormat="false" ht="15" hidden="false" customHeight="false" outlineLevel="0" collapsed="false">
      <c r="A12" s="4" t="s">
        <v>36</v>
      </c>
      <c r="B12" s="9" t="n">
        <v>2</v>
      </c>
      <c r="C12" s="10" t="n">
        <f aca="false">B12/1583</f>
        <v>0.00126342387871131</v>
      </c>
      <c r="D12" s="9" t="n">
        <v>1</v>
      </c>
      <c r="E12" s="10" t="n">
        <f aca="false">D12/538</f>
        <v>0.00185873605947955</v>
      </c>
    </row>
    <row r="13" customFormat="false" ht="15" hidden="false" customHeight="false" outlineLevel="0" collapsed="false">
      <c r="A13" s="4" t="s">
        <v>37</v>
      </c>
      <c r="B13" s="9" t="n">
        <v>1</v>
      </c>
      <c r="C13" s="10" t="n">
        <f aca="false">B13/1583</f>
        <v>0.000631711939355654</v>
      </c>
      <c r="D13" s="9" t="n">
        <v>0</v>
      </c>
      <c r="E13" s="10" t="n">
        <f aca="false">D13/538</f>
        <v>0</v>
      </c>
    </row>
    <row r="14" customFormat="false" ht="15" hidden="false" customHeight="false" outlineLevel="0" collapsed="false">
      <c r="A14" s="4" t="s">
        <v>38</v>
      </c>
      <c r="B14" s="9" t="n">
        <v>1</v>
      </c>
      <c r="C14" s="10" t="n">
        <f aca="false">B14/1583</f>
        <v>0.000631711939355654</v>
      </c>
      <c r="D14" s="9" t="n">
        <v>0</v>
      </c>
      <c r="E14" s="10" t="n">
        <f aca="false">D14/538</f>
        <v>0</v>
      </c>
    </row>
    <row r="15" customFormat="false" ht="15" hidden="false" customHeight="false" outlineLevel="0" collapsed="false">
      <c r="A15" s="4" t="s">
        <v>39</v>
      </c>
      <c r="B15" s="9" t="n">
        <v>1</v>
      </c>
      <c r="C15" s="10" t="n">
        <f aca="false">B15/1583</f>
        <v>0.000631711939355654</v>
      </c>
      <c r="D15" s="9" t="n">
        <v>0</v>
      </c>
      <c r="E15" s="10" t="n">
        <f aca="false">D15/538</f>
        <v>0</v>
      </c>
    </row>
    <row r="16" customFormat="false" ht="15" hidden="false" customHeight="false" outlineLevel="0" collapsed="false">
      <c r="A16" s="4" t="s">
        <v>40</v>
      </c>
      <c r="B16" s="9" t="n">
        <v>1</v>
      </c>
      <c r="C16" s="10" t="n">
        <f aca="false">B16/1583</f>
        <v>0.000631711939355654</v>
      </c>
      <c r="D16" s="9" t="n">
        <v>1</v>
      </c>
      <c r="E16" s="10" t="n">
        <f aca="false">D16/538</f>
        <v>0.00185873605947955</v>
      </c>
    </row>
    <row r="17" customFormat="false" ht="15" hidden="false" customHeight="false" outlineLevel="0" collapsed="false">
      <c r="A17" s="4" t="s">
        <v>41</v>
      </c>
      <c r="B17" s="9" t="n">
        <v>1</v>
      </c>
      <c r="C17" s="10" t="n">
        <f aca="false">B17/1583</f>
        <v>0.000631711939355654</v>
      </c>
      <c r="D17" s="9" t="n">
        <v>0</v>
      </c>
      <c r="E17" s="10" t="n">
        <f aca="false">D17/538</f>
        <v>0</v>
      </c>
    </row>
    <row r="18" customFormat="false" ht="15" hidden="false" customHeight="false" outlineLevel="0" collapsed="false">
      <c r="A18" s="3" t="s">
        <v>42</v>
      </c>
      <c r="B18" s="11" t="n">
        <f aca="false">SUM(B5:B17)</f>
        <v>1583</v>
      </c>
      <c r="C18" s="12" t="n">
        <f aca="false">B18/1583</f>
        <v>1</v>
      </c>
      <c r="D18" s="11" t="n">
        <f aca="false">SUM(D5:D17)</f>
        <v>538</v>
      </c>
      <c r="E18" s="12" t="n">
        <f aca="false">D18/538</f>
        <v>1</v>
      </c>
    </row>
    <row r="20" customFormat="false" ht="15" hidden="false" customHeight="true" outlineLevel="0" collapsed="false">
      <c r="A20" s="7" t="s">
        <v>43</v>
      </c>
      <c r="B20" s="7"/>
      <c r="C20" s="7"/>
      <c r="D20" s="7"/>
      <c r="E20" s="7"/>
    </row>
  </sheetData>
  <mergeCells count="3">
    <mergeCell ref="A1:D1"/>
    <mergeCell ref="A2:D2"/>
    <mergeCell ref="A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22"/>
  </cols>
  <sheetData>
    <row r="1" customFormat="false" ht="17.35" hidden="false" customHeight="false" outlineLevel="0" collapsed="false">
      <c r="A1" s="1" t="s">
        <v>44</v>
      </c>
      <c r="B1" s="1"/>
      <c r="C1" s="1"/>
    </row>
    <row r="3" customFormat="false" ht="26.85" hidden="false" customHeight="true" outlineLevel="0" collapsed="false">
      <c r="A3" s="13" t="s">
        <v>45</v>
      </c>
      <c r="B3" s="13"/>
      <c r="C3" s="13"/>
    </row>
    <row r="4" customFormat="false" ht="26.85" hidden="false" customHeight="false" outlineLevel="0" collapsed="false">
      <c r="A4" s="8" t="s">
        <v>46</v>
      </c>
      <c r="B4" s="8" t="s">
        <v>47</v>
      </c>
      <c r="C4" s="8" t="s">
        <v>48</v>
      </c>
    </row>
    <row r="5" customFormat="false" ht="15" hidden="false" customHeight="false" outlineLevel="0" collapsed="false">
      <c r="A5" s="4" t="s">
        <v>49</v>
      </c>
      <c r="B5" s="9" t="n">
        <v>1</v>
      </c>
      <c r="C5" s="10" t="n">
        <f aca="false">B5/179</f>
        <v>0.00558659217877095</v>
      </c>
    </row>
    <row r="6" customFormat="false" ht="15" hidden="false" customHeight="false" outlineLevel="0" collapsed="false">
      <c r="A6" s="4" t="s">
        <v>50</v>
      </c>
      <c r="B6" s="9" t="n">
        <v>2</v>
      </c>
      <c r="C6" s="10" t="n">
        <f aca="false">B6/179</f>
        <v>0.0111731843575419</v>
      </c>
    </row>
    <row r="7" customFormat="false" ht="15" hidden="false" customHeight="false" outlineLevel="0" collapsed="false">
      <c r="A7" s="4" t="s">
        <v>51</v>
      </c>
      <c r="B7" s="9" t="n">
        <v>3</v>
      </c>
      <c r="C7" s="10" t="n">
        <f aca="false">B7/179</f>
        <v>0.0167597765363129</v>
      </c>
    </row>
    <row r="8" customFormat="false" ht="15" hidden="false" customHeight="false" outlineLevel="0" collapsed="false">
      <c r="A8" s="4" t="s">
        <v>52</v>
      </c>
      <c r="B8" s="9" t="n">
        <v>44</v>
      </c>
      <c r="C8" s="10" t="n">
        <f aca="false">B8/179</f>
        <v>0.245810055865922</v>
      </c>
    </row>
    <row r="9" customFormat="false" ht="15" hidden="false" customHeight="false" outlineLevel="0" collapsed="false">
      <c r="A9" s="4" t="s">
        <v>53</v>
      </c>
      <c r="B9" s="9" t="n">
        <v>129</v>
      </c>
      <c r="C9" s="10" t="n">
        <f aca="false">B9/179</f>
        <v>0.720670391061453</v>
      </c>
    </row>
    <row r="10" customFormat="false" ht="15" hidden="false" customHeight="false" outlineLevel="0" collapsed="false">
      <c r="A10" s="14" t="s">
        <v>54</v>
      </c>
      <c r="B10" s="14" t="n">
        <f aca="false">SUM(B5:B9)</f>
        <v>179</v>
      </c>
      <c r="C10" s="15" t="n">
        <f aca="false">B10/179</f>
        <v>1</v>
      </c>
    </row>
    <row r="13" customFormat="false" ht="15" hidden="false" customHeight="false" outlineLevel="0" collapsed="false">
      <c r="A13" s="16" t="s">
        <v>55</v>
      </c>
      <c r="B13" s="16"/>
      <c r="C13" s="16"/>
    </row>
    <row r="14" customFormat="false" ht="15" hidden="false" customHeight="false" outlineLevel="0" collapsed="false">
      <c r="A14" s="8" t="s">
        <v>56</v>
      </c>
      <c r="B14" s="8" t="s">
        <v>47</v>
      </c>
      <c r="C14" s="8" t="s">
        <v>57</v>
      </c>
    </row>
    <row r="15" customFormat="false" ht="15" hidden="false" customHeight="false" outlineLevel="0" collapsed="false">
      <c r="A15" s="4" t="s">
        <v>58</v>
      </c>
      <c r="B15" s="9" t="n">
        <v>179</v>
      </c>
      <c r="C15" s="10" t="n">
        <f aca="false">B15/538</f>
        <v>0.33271375464684</v>
      </c>
    </row>
    <row r="16" customFormat="false" ht="26.85" hidden="false" customHeight="false" outlineLevel="0" collapsed="false">
      <c r="A16" s="4" t="s">
        <v>59</v>
      </c>
      <c r="B16" s="9" t="n">
        <v>359</v>
      </c>
      <c r="C16" s="10" t="n">
        <f aca="false">B16/538</f>
        <v>0.66728624535316</v>
      </c>
    </row>
    <row r="17" customFormat="false" ht="15" hidden="false" customHeight="false" outlineLevel="0" collapsed="false">
      <c r="A17" s="14" t="s">
        <v>60</v>
      </c>
      <c r="B17" s="14" t="n">
        <f aca="false">SUM(B15:B16)</f>
        <v>538</v>
      </c>
      <c r="C17" s="15" t="n">
        <f aca="false">B17/538</f>
        <v>1</v>
      </c>
    </row>
    <row r="19" customFormat="false" ht="109.5" hidden="false" customHeight="true" outlineLevel="0" collapsed="false">
      <c r="A19" s="17" t="s">
        <v>61</v>
      </c>
      <c r="B19" s="17"/>
      <c r="C19" s="17"/>
    </row>
  </sheetData>
  <mergeCells count="4">
    <mergeCell ref="A1:C1"/>
    <mergeCell ref="A3:C3"/>
    <mergeCell ref="A13:C13"/>
    <mergeCell ref="A19:C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1" style="0" width="55"/>
  </cols>
  <sheetData>
    <row r="1" customFormat="false" ht="17.35" hidden="false" customHeight="false" outlineLevel="0" collapsed="false">
      <c r="A1" s="1" t="s">
        <v>62</v>
      </c>
      <c r="B1" s="1"/>
    </row>
    <row r="3" customFormat="false" ht="19.5" hidden="false" customHeight="true" outlineLevel="0" collapsed="false">
      <c r="A3" s="18" t="s">
        <v>63</v>
      </c>
      <c r="B3" s="18"/>
    </row>
    <row r="4" customFormat="false" ht="94.5" hidden="false" customHeight="true" outlineLevel="0" collapsed="false">
      <c r="A4" s="19" t="s">
        <v>64</v>
      </c>
      <c r="B4" s="19"/>
    </row>
    <row r="6" customFormat="false" ht="19.5" hidden="false" customHeight="true" outlineLevel="0" collapsed="false">
      <c r="A6" s="18" t="s">
        <v>65</v>
      </c>
      <c r="B6" s="18"/>
    </row>
    <row r="7" customFormat="false" ht="94.5" hidden="false" customHeight="true" outlineLevel="0" collapsed="false">
      <c r="A7" s="19" t="s">
        <v>66</v>
      </c>
      <c r="B7" s="19"/>
    </row>
    <row r="9" customFormat="false" ht="19.5" hidden="false" customHeight="true" outlineLevel="0" collapsed="false">
      <c r="A9" s="18" t="s">
        <v>67</v>
      </c>
      <c r="B9" s="18"/>
    </row>
    <row r="10" customFormat="false" ht="94.5" hidden="false" customHeight="true" outlineLevel="0" collapsed="false">
      <c r="A10" s="19" t="s">
        <v>68</v>
      </c>
      <c r="B10" s="19"/>
    </row>
  </sheetData>
  <mergeCells count="7">
    <mergeCell ref="A1:B1"/>
    <mergeCell ref="A3:B3"/>
    <mergeCell ref="A4:B4"/>
    <mergeCell ref="A6:B6"/>
    <mergeCell ref="A7:B7"/>
    <mergeCell ref="A9:B9"/>
    <mergeCell ref="A10:B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6" min="1" style="0" width="22"/>
  </cols>
  <sheetData>
    <row r="1" customFormat="false" ht="17.35" hidden="false" customHeight="false" outlineLevel="0" collapsed="false">
      <c r="A1" s="20" t="s">
        <v>69</v>
      </c>
    </row>
    <row r="3" customFormat="false" ht="480" hidden="false" customHeight="true" outlineLevel="0" collapsed="false">
      <c r="A3" s="19" t="s">
        <v>70</v>
      </c>
      <c r="B3" s="19"/>
      <c r="C3" s="19"/>
      <c r="D3" s="19"/>
      <c r="E3" s="19"/>
      <c r="F3" s="19"/>
    </row>
  </sheetData>
  <mergeCells count="1">
    <mergeCell ref="A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2026-08-06T00:34:14Z</dcterms:created>
  <dc:creator>openpyxl</dc:creator>
  <dc:description/>
  <dc:language>en-US</dc:language>
  <cp:lastModifiedBy/>
  <dcterms:modified xsi:type="dcterms:W3CDTF">2026-08-06T00:34:14Z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